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Inp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2" authorId="0">
      <text>
        <r>
          <rPr>
            <sz val="10"/>
            <rFont val="Arial"/>
            <family val="2"/>
          </rPr>
          <t xml:space="preserve">Hourly operating-cost coefficient per machine group (fictitious sample values).</t>
        </r>
      </text>
    </comment>
    <comment ref="B19" authorId="0">
      <text>
        <r>
          <rPr>
            <sz val="10"/>
            <rFont val="Arial"/>
            <family val="2"/>
          </rPr>
          <t xml:space="preserve">Objective cell: Total Revenue minus Total Machine Usage Cost. This is the Solver 'Set Objective' cell (Max).</t>
        </r>
      </text>
    </comment>
    <comment ref="C3" authorId="0">
      <text>
        <r>
          <rPr>
            <sz val="10"/>
            <rFont val="Arial"/>
            <family val="2"/>
          </rPr>
          <t xml:space="preserve">Decision variable: production quantity for this part. Editable — this is what Solver adjusts.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<sst xmlns="http://schemas.openxmlformats.org/spreadsheetml/2006/main" count="32" uniqueCount="32">
  <si>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Part ID</t>
  </si>
  <si>
    <t xml:space="preserve">Unit Price</t>
  </si>
  <si>
    <t xml:space="preserve">Quantity</t>
  </si>
  <si>
    <t xml:space="preserve">Machine_A</t>
  </si>
  <si>
    <t xml:space="preserve">Machine_B</t>
  </si>
  <si>
    <t xml:space="preserve">Machine_C</t>
  </si>
  <si>
    <t xml:space="preserve">Machine_D</t>
  </si>
  <si>
    <t xml:space="preserve">Machine_E</t>
  </si>
  <si>
    <t xml:space="preserve">Cost / Hour</t>
  </si>
  <si>
    <t xml:space="preserve">P-001</t>
  </si>
  <si>
    <t xml:space="preserve">P-002</t>
  </si>
  <si>
    <t xml:space="preserve">P-003</t>
  </si>
  <si>
    <t xml:space="preserve">P-004</t>
  </si>
  <si>
    <t xml:space="preserve">P-005</t>
  </si>
  <si>
    <t xml:space="preserve">P-006</t>
  </si>
  <si>
    <t xml:space="preserve">P-007</t>
  </si>
  <si>
    <t xml:space="preserve">P-008</t>
  </si>
  <si>
    <t xml:space="preserve">P-009</t>
  </si>
  <si>
    <t xml:space="preserve">P-010</t>
  </si>
  <si>
    <t xml:space="preserve">P-011</t>
  </si>
  <si>
    <t xml:space="preserve">P-012</t>
  </si>
  <si>
    <t xml:space="preserve">Capacity (hrs)</t>
  </si>
  <si>
    <t xml:space="preserve">Used Capacity (hrs)</t>
  </si>
  <si>
    <t xml:space="preserve">Total Economic Contribution (Z)</t>
  </si>
  <si>
    <t xml:space="preserve">Legend:</t>
  </si>
  <si>
    <t xml:space="preserve">Yellow cells</t>
  </si>
  <si>
    <t xml:space="preserve">Editable inputs (decision variables, cost coefficients, capacities)</t>
  </si>
  <si>
    <t xml:space="preserve">Blue text</t>
  </si>
  <si>
    <t xml:space="preserve">Hardcoded sample values (fictitious)</t>
  </si>
  <si>
    <t xml:space="preserve">Black text</t>
  </si>
  <si>
    <t xml:space="preserve">Formulas — recalculate automatically</t>
  </si>
  <si>
    <t xml:space="preserve">Note: all part numbers, prices, and cost coefficients are fictitious and for structural illustration only.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</si>
</sst>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sz val="11"/>
      <name val="Times New Roman"/>
      <family val="0"/>
      <charset val="1"/>
    </font>
    <font>
      <b val="true"/>
      <sz val="12"/>
      <name val="Times New Roman"/>
      <family val="0"/>
      <charset val="1"/>
    </font>
    <font>
      <i val="true"/>
      <sz val="10"/>
      <name val="Times New Roman"/>
      <family val="0"/>
      <charset val="1"/>
    </font>
    <font>
      <i val="true"/>
      <sz val="10"/>
      <color rgb="FF808080"/>
      <name val="Times New Roman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2"/>
    <col collapsed="false" customWidth="true" hidden="false" outlineLevel="0" max="8" min="4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D2" s="3" t="n">
        <v>12</v>
      </c>
      <c r="E2" s="3" t="n">
        <v>9</v>
      </c>
      <c r="F2" s="3" t="n">
        <v>15</v>
      </c>
      <c r="G2" s="3" t="n">
        <v>7</v>
      </c>
      <c r="H2" s="3" t="n">
        <v>10</v>
      </c>
    </row>
    <row r="3" customFormat="false" ht="15" hidden="false" customHeight="false" outlineLevel="0" collapsed="false">
      <c r="A3" s="4" t="s">
        <v>9</v>
      </c>
      <c r="B3" s="5" t="n">
        <v>145</v>
      </c>
      <c r="C3" s="3" t="n">
        <v>2</v>
      </c>
      <c r="D3" s="5" t="n">
        <v>1.5</v>
      </c>
      <c r="E3" s="5" t="n">
        <v>0.5</v>
      </c>
      <c r="F3" s="6"/>
      <c r="G3" s="6"/>
      <c r="H3" s="6"/>
    </row>
    <row r="4" customFormat="false" ht="15" hidden="false" customHeight="false" outlineLevel="0" collapsed="false">
      <c r="A4" s="4" t="s">
        <v>10</v>
      </c>
      <c r="B4" s="5" t="n">
        <v>89</v>
      </c>
      <c r="C4" s="3" t="n">
        <v>2</v>
      </c>
      <c r="D4" s="5" t="n">
        <v>0.8</v>
      </c>
      <c r="E4" s="6"/>
      <c r="F4" s="6"/>
      <c r="G4" s="6"/>
      <c r="H4" s="6"/>
    </row>
    <row r="5" customFormat="false" ht="15" hidden="false" customHeight="false" outlineLevel="0" collapsed="false">
      <c r="A5" s="4" t="s">
        <v>11</v>
      </c>
      <c r="B5" s="5" t="n">
        <v>210</v>
      </c>
      <c r="C5" s="3" t="n">
        <v>2</v>
      </c>
      <c r="D5" s="6"/>
      <c r="E5" s="6"/>
      <c r="F5" s="5" t="n">
        <v>2</v>
      </c>
      <c r="G5" s="5" t="n">
        <v>1</v>
      </c>
      <c r="H5" s="6"/>
    </row>
    <row r="6" customFormat="false" ht="15" hidden="false" customHeight="false" outlineLevel="0" collapsed="false">
      <c r="A6" s="4" t="s">
        <v>12</v>
      </c>
      <c r="B6" s="5" t="n">
        <v>76</v>
      </c>
      <c r="C6" s="3" t="n">
        <v>2</v>
      </c>
      <c r="D6" s="6"/>
      <c r="E6" s="5" t="n">
        <v>1.2</v>
      </c>
      <c r="F6" s="6"/>
      <c r="G6" s="6"/>
      <c r="H6" s="6"/>
    </row>
    <row r="7" customFormat="false" ht="15" hidden="false" customHeight="false" outlineLevel="0" collapsed="false">
      <c r="A7" s="4" t="s">
        <v>13</v>
      </c>
      <c r="B7" s="5" t="n">
        <v>305</v>
      </c>
      <c r="C7" s="3" t="n">
        <v>2</v>
      </c>
      <c r="D7" s="5" t="n">
        <v>1</v>
      </c>
      <c r="E7" s="6"/>
      <c r="F7" s="6"/>
      <c r="G7" s="6"/>
      <c r="H7" s="5" t="n">
        <v>2.5</v>
      </c>
    </row>
    <row r="8" customFormat="false" ht="15" hidden="false" customHeight="false" outlineLevel="0" collapsed="false">
      <c r="A8" s="4" t="s">
        <v>14</v>
      </c>
      <c r="B8" s="5" t="n">
        <v>132</v>
      </c>
      <c r="C8" s="3" t="n">
        <v>2</v>
      </c>
      <c r="D8" s="6"/>
      <c r="E8" s="6"/>
      <c r="F8" s="5" t="n">
        <v>1.8</v>
      </c>
      <c r="G8" s="6"/>
      <c r="H8" s="6"/>
    </row>
    <row r="9" customFormat="false" ht="15" hidden="false" customHeight="false" outlineLevel="0" collapsed="false">
      <c r="A9" s="4" t="s">
        <v>15</v>
      </c>
      <c r="B9" s="5" t="n">
        <v>58</v>
      </c>
      <c r="C9" s="3" t="n">
        <v>2</v>
      </c>
      <c r="D9" s="6"/>
      <c r="E9" s="6"/>
      <c r="F9" s="6"/>
      <c r="G9" s="5" t="n">
        <v>0.6</v>
      </c>
      <c r="H9" s="6"/>
    </row>
    <row r="10" customFormat="false" ht="15" hidden="false" customHeight="false" outlineLevel="0" collapsed="false">
      <c r="A10" s="4" t="s">
        <v>16</v>
      </c>
      <c r="B10" s="5" t="n">
        <v>420</v>
      </c>
      <c r="C10" s="3" t="n">
        <v>2</v>
      </c>
      <c r="D10" s="5" t="n">
        <v>2.2</v>
      </c>
      <c r="E10" s="6"/>
      <c r="F10" s="5" t="n">
        <v>1.5</v>
      </c>
      <c r="G10" s="6"/>
      <c r="H10" s="6"/>
    </row>
    <row r="11" customFormat="false" ht="15" hidden="false" customHeight="false" outlineLevel="0" collapsed="false">
      <c r="A11" s="4" t="s">
        <v>17</v>
      </c>
      <c r="B11" s="5" t="n">
        <v>97</v>
      </c>
      <c r="C11" s="3" t="n">
        <v>2</v>
      </c>
      <c r="D11" s="6"/>
      <c r="E11" s="5" t="n">
        <v>0.9</v>
      </c>
      <c r="F11" s="6"/>
      <c r="G11" s="6"/>
      <c r="H11" s="5" t="n">
        <v>0.7</v>
      </c>
    </row>
    <row r="12" customFormat="false" ht="15" hidden="false" customHeight="false" outlineLevel="0" collapsed="false">
      <c r="A12" s="4" t="s">
        <v>18</v>
      </c>
      <c r="B12" s="5" t="n">
        <v>168</v>
      </c>
      <c r="C12" s="3" t="n">
        <v>2</v>
      </c>
      <c r="D12" s="6"/>
      <c r="E12" s="6"/>
      <c r="F12" s="6"/>
      <c r="G12" s="5" t="n">
        <v>1.4</v>
      </c>
      <c r="H12" s="6"/>
    </row>
    <row r="13" customFormat="false" ht="15" hidden="false" customHeight="false" outlineLevel="0" collapsed="false">
      <c r="A13" s="4" t="s">
        <v>19</v>
      </c>
      <c r="B13" s="5" t="n">
        <v>250</v>
      </c>
      <c r="C13" s="3" t="n">
        <v>2</v>
      </c>
      <c r="D13" s="5" t="n">
        <v>1.3</v>
      </c>
      <c r="E13" s="6"/>
      <c r="F13" s="6"/>
      <c r="G13" s="6"/>
      <c r="H13" s="5" t="n">
        <v>1.1</v>
      </c>
    </row>
    <row r="14" customFormat="false" ht="15" hidden="false" customHeight="false" outlineLevel="0" collapsed="false">
      <c r="A14" s="4" t="s">
        <v>20</v>
      </c>
      <c r="B14" s="5" t="n">
        <v>112</v>
      </c>
      <c r="C14" s="3" t="n">
        <v>2</v>
      </c>
      <c r="D14" s="6"/>
      <c r="E14" s="5" t="n">
        <v>0.4</v>
      </c>
      <c r="F14" s="5" t="n">
        <v>1</v>
      </c>
      <c r="G14" s="6"/>
      <c r="H14" s="6"/>
    </row>
    <row r="16" customFormat="false" ht="15" hidden="false" customHeight="false" outlineLevel="0" collapsed="false">
      <c r="A16" s="2" t="s">
        <v>21</v>
      </c>
      <c r="D16" s="3" t="n">
        <v>40</v>
      </c>
      <c r="E16" s="3" t="n">
        <v>25</v>
      </c>
      <c r="F16" s="3" t="n">
        <v>30</v>
      </c>
      <c r="G16" s="3" t="n">
        <v>20</v>
      </c>
      <c r="H16" s="3" t="n">
        <v>15</v>
      </c>
    </row>
    <row r="17" customFormat="false" ht="15" hidden="false" customHeight="false" outlineLevel="0" collapsed="false">
      <c r="A17" s="2" t="s">
        <v>22</v>
      </c>
      <c r="D17" s="4" t="n">
        <f aca="false">SUMPRODUCT(D3:D14,$C$3:$C$14)</f>
        <v>13.6</v>
      </c>
      <c r="E17" s="4" t="n">
        <f aca="false">SUMPRODUCT(E3:E14,$C$3:$C$14)</f>
        <v>6</v>
      </c>
      <c r="F17" s="4" t="n">
        <f aca="false">SUMPRODUCT(F3:F14,$C$3:$C$14)</f>
        <v>12.6</v>
      </c>
      <c r="G17" s="4" t="n">
        <f aca="false">SUMPRODUCT(G3:G14,$C$3:$C$14)</f>
        <v>6</v>
      </c>
      <c r="H17" s="4" t="n">
        <f aca="false">SUMPRODUCT(H3:H14,$C$3:$C$14)</f>
        <v>8.6</v>
      </c>
    </row>
    <row r="19" customFormat="false" ht="15" hidden="false" customHeight="false" outlineLevel="0" collapsed="false">
      <c r="A19" s="2" t="s">
        <v>23</v>
      </c>
      <c r="B19" s="7" t="n">
        <f aca="false">SUMPRODUCT(B3:B14,C3:C14)-SUMPRODUCT(D17:H17,D2:H2)</f>
        <v>3589.8</v>
      </c>
    </row>
    <row r="22" customFormat="false" ht="15" hidden="false" customHeight="false" outlineLevel="0" collapsed="false">
      <c r="A22" s="2" t="s">
        <v>24</v>
      </c>
    </row>
    <row r="23" customFormat="false" ht="15" hidden="false" customHeight="false" outlineLevel="0" collapsed="false">
      <c r="A23" s="8" t="s">
        <v>25</v>
      </c>
      <c r="B23" s="8" t="s">
        <v>26</v>
      </c>
    </row>
    <row r="24" customFormat="false" ht="15" hidden="false" customHeight="false" outlineLevel="0" collapsed="false">
      <c r="A24" s="8" t="s">
        <v>27</v>
      </c>
      <c r="B24" s="8" t="s">
        <v>28</v>
      </c>
    </row>
    <row r="25" customFormat="false" ht="15" hidden="false" customHeight="false" outlineLevel="0" collapsed="false">
      <c r="A25" s="8" t="s">
        <v>29</v>
      </c>
      <c r="B25" s="8" t="s">
        <v>30</v>
      </c>
    </row>
    <row r="27" customFormat="false" ht="15" hidden="false" customHeight="false" outlineLevel="0" collapsed="false">
      <c r="A27" s="9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2026-09-17T07:32:21Z</dcterms:created>
  <dc:creator>openpyxl</dc:creator>
  <dc:description/>
  <dc:language>en-US</dc:language>
  <cp:lastModifiedBy/>
  <dcterms:modified xsi:type="dcterms:W3CDTF">2026-09-17T07:32:21Z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